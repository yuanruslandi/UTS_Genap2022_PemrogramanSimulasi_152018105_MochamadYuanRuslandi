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E448801E-4432-46C2-A1FD-EE895695BFC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D4" i="1" l="1"/>
  <c r="G8" i="1"/>
  <c r="M5" i="1"/>
  <c r="N5" i="1" s="1"/>
  <c r="M6" i="1"/>
  <c r="M7" i="1"/>
  <c r="M8" i="1"/>
  <c r="M9" i="1"/>
  <c r="M10" i="1"/>
  <c r="M11" i="1"/>
  <c r="M12" i="1"/>
  <c r="M13" i="1"/>
  <c r="M14" i="1"/>
  <c r="M15" i="1"/>
  <c r="M16" i="1"/>
  <c r="M17" i="1"/>
  <c r="N17" i="1" s="1"/>
  <c r="M18" i="1"/>
  <c r="M19" i="1"/>
  <c r="M4" i="1"/>
  <c r="N4" i="1" s="1"/>
  <c r="G5" i="1"/>
  <c r="G6" i="1"/>
  <c r="G7" i="1"/>
  <c r="G4" i="1"/>
  <c r="F6" i="1"/>
  <c r="F7" i="1"/>
  <c r="F8" i="1"/>
  <c r="F5" i="1"/>
  <c r="D5" i="1"/>
  <c r="D6" i="1"/>
  <c r="C9" i="1"/>
  <c r="D7" i="1" s="1"/>
  <c r="N12" i="1" l="1"/>
  <c r="O12" i="1" s="1"/>
  <c r="N19" i="1"/>
  <c r="O19" i="1" s="1"/>
  <c r="N18" i="1"/>
  <c r="O18" i="1" s="1"/>
  <c r="N8" i="1"/>
  <c r="O8" i="1" s="1"/>
  <c r="N7" i="1"/>
  <c r="O7" i="1" s="1"/>
  <c r="N11" i="1"/>
  <c r="O11" i="1" s="1"/>
  <c r="N10" i="1"/>
  <c r="O10" i="1" s="1"/>
  <c r="N9" i="1"/>
  <c r="O9" i="1" s="1"/>
  <c r="N16" i="1"/>
  <c r="O16" i="1" s="1"/>
  <c r="N15" i="1"/>
  <c r="O15" i="1" s="1"/>
  <c r="N14" i="1"/>
  <c r="O14" i="1" s="1"/>
  <c r="N6" i="1"/>
  <c r="O6" i="1" s="1"/>
  <c r="N13" i="1"/>
  <c r="O13" i="1" s="1"/>
  <c r="O5" i="1"/>
  <c r="O17" i="1"/>
  <c r="O4" i="1"/>
  <c r="D8" i="1"/>
  <c r="E4" i="1"/>
  <c r="E5" i="1" s="1"/>
  <c r="E6" i="1" s="1"/>
  <c r="E7" i="1" s="1"/>
  <c r="N20" i="1" l="1"/>
  <c r="O20" i="1" s="1"/>
  <c r="E8" i="1"/>
</calcChain>
</file>

<file path=xl/sharedStrings.xml><?xml version="1.0" encoding="utf-8"?>
<sst xmlns="http://schemas.openxmlformats.org/spreadsheetml/2006/main" count="17" uniqueCount="16">
  <si>
    <t>PENJUALAN LAPTOP IBM</t>
  </si>
  <si>
    <t>No.</t>
  </si>
  <si>
    <t>Permintaan Laptop per minggu</t>
  </si>
  <si>
    <t xml:space="preserve">Frekuensi </t>
  </si>
  <si>
    <t>JUMLAH</t>
  </si>
  <si>
    <t>Probabilitas</t>
  </si>
  <si>
    <t>Probabilitas Kumulatif</t>
  </si>
  <si>
    <t>Interval</t>
  </si>
  <si>
    <t>Generalisasi dan Penaksiran</t>
  </si>
  <si>
    <t>Permintaan Laptop minggu ke-</t>
  </si>
  <si>
    <t>Angka Acak</t>
  </si>
  <si>
    <t>Permintaan</t>
  </si>
  <si>
    <t>B.Bawah</t>
  </si>
  <si>
    <t>B.Atas</t>
  </si>
  <si>
    <t>RP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</si>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</sst>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2" workbookViewId="0">
      <selection activeCell="D16" sqref="D16"/>
    </sheetView>
  </sheetViews>
  <sheetFormatPr defaultRowHeight="15" x14ac:dyDescent="0.25"/>
  <cols>
    <col min="1" max="1" width="7.140625" customWidth="1"/>
    <col min="2" max="2" width="18" bestFit="1" customWidth="1"/>
    <col min="3" max="3" width="9.7109375" bestFit="1" customWidth="1"/>
    <col min="4" max="5" width="11.5703125" bestFit="1" customWidth="1"/>
    <col min="6" max="6" width="8.5703125" bestFit="1" customWidth="1"/>
    <col min="7" max="7" width="6.5703125" bestFit="1" customWidth="1"/>
    <col min="8" max="8" width="16.7109375" bestFit="1" customWidth="1"/>
    <col min="9" max="9" width="2.28515625" style="4" customWidth="1"/>
    <col min="10" max="10" width="4.5703125" customWidth="1"/>
    <col min="12" max="12" width="19.7109375" customWidth="1"/>
    <col min="14" max="14" width="13.28515625" customWidth="1"/>
  </cols>
  <sheetData>
    <row r="1" spans="1:15" ht="18.75" x14ac:dyDescent="0.3">
      <c r="A1" s="2" t="s">
        <v>0</v>
      </c>
      <c r="K1" s="2" t="s">
        <v>8</v>
      </c>
    </row>
    <row r="3" spans="1:15" s="1" customFormat="1" ht="36.75" customHeight="1" x14ac:dyDescent="0.25">
      <c r="A3" s="12" t="s">
        <v>1</v>
      </c>
      <c r="B3" s="12" t="s">
        <v>2</v>
      </c>
      <c r="C3" s="12" t="s">
        <v>3</v>
      </c>
      <c r="D3" s="12" t="s">
        <v>5</v>
      </c>
      <c r="E3" s="12" t="s">
        <v>6</v>
      </c>
      <c r="F3" s="12" t="s">
        <v>12</v>
      </c>
      <c r="G3" s="12" t="s">
        <v>13</v>
      </c>
      <c r="H3" s="12" t="s">
        <v>7</v>
      </c>
      <c r="I3" s="5"/>
      <c r="K3" s="12" t="s">
        <v>1</v>
      </c>
      <c r="L3" s="12" t="s">
        <v>9</v>
      </c>
      <c r="M3" s="12" t="s">
        <v>10</v>
      </c>
      <c r="N3" s="12" t="s">
        <v>11</v>
      </c>
      <c r="O3" s="12" t="s">
        <v>14</v>
      </c>
    </row>
    <row r="4" spans="1:15" x14ac:dyDescent="0.25">
      <c r="A4" s="3">
        <v>1</v>
      </c>
      <c r="B4" s="13">
        <v>0</v>
      </c>
      <c r="C4" s="13">
        <v>20</v>
      </c>
      <c r="D4" s="3">
        <f>C4/$C$9</f>
        <v>0.2</v>
      </c>
      <c r="E4" s="3">
        <f>D4</f>
        <v>0.2</v>
      </c>
      <c r="F4" s="3">
        <v>0</v>
      </c>
      <c r="G4" s="6">
        <f>E4-0.01</f>
        <v>0.19</v>
      </c>
      <c r="H4" s="6" t="str">
        <f>_xlfn.CONCAT("interval ",1," ",F4, "-",G4)</f>
        <v>interval 1 0-0.19</v>
      </c>
      <c r="K4" s="3">
        <v>1</v>
      </c>
      <c r="L4" s="3">
        <v>1</v>
      </c>
      <c r="M4" s="3">
        <f ca="1">RAND()</f>
        <v>8.7422531637775247E-3</v>
      </c>
      <c r="N4" s="3">
        <f ca="1">IF($M4&lt;$G$4,0,IF($M4&lt;$G$5,1,IF($M4&lt;$G$6,2,IF($M4&lt;$G$7,3,IF($M4&lt;$G$8,4)))))</f>
        <v>0</v>
      </c>
      <c r="O4" s="8">
        <f ca="1">N4*2500000</f>
        <v>0</v>
      </c>
    </row>
    <row r="5" spans="1:15" x14ac:dyDescent="0.25">
      <c r="A5" s="3">
        <v>2</v>
      </c>
      <c r="B5" s="13">
        <v>1</v>
      </c>
      <c r="C5" s="13">
        <v>40</v>
      </c>
      <c r="D5" s="6">
        <f t="shared" ref="D5:D8" si="0">C5/$C$9</f>
        <v>0.4</v>
      </c>
      <c r="E5" s="3">
        <f>E4+D5</f>
        <v>0.60000000000000009</v>
      </c>
      <c r="F5" s="3">
        <f>E4</f>
        <v>0.2</v>
      </c>
      <c r="G5" s="6">
        <f t="shared" ref="G5:G7" si="1">E5-0.01</f>
        <v>0.59000000000000008</v>
      </c>
      <c r="H5" s="7" t="str">
        <f>_xlfn.CONCAT("interval ",2," ",F5, "-",G5)</f>
        <v>interval 2 0.2-0.59</v>
      </c>
      <c r="K5" s="3">
        <v>2</v>
      </c>
      <c r="L5" s="3">
        <v>2</v>
      </c>
      <c r="M5" s="6">
        <f t="shared" ref="M5:M19" ca="1" si="2">RAND()</f>
        <v>0.74388741892076793</v>
      </c>
      <c r="N5" s="7">
        <f t="shared" ref="N5:N19" ca="1" si="3">IF($M5&lt;$G$4,0,IF($M5&lt;$G$5,1,IF($M5&lt;$G$6,2,IF($M5&lt;$G$7,3,IF($M5&lt;$G$8,4)))))</f>
        <v>2</v>
      </c>
      <c r="O5" s="8">
        <f t="shared" ref="O5:O20" ca="1" si="4">N5*2500000</f>
        <v>5000000</v>
      </c>
    </row>
    <row r="6" spans="1:15" x14ac:dyDescent="0.25">
      <c r="A6" s="3">
        <v>3</v>
      </c>
      <c r="B6" s="13">
        <v>2</v>
      </c>
      <c r="C6" s="13">
        <v>20</v>
      </c>
      <c r="D6" s="6">
        <f t="shared" si="0"/>
        <v>0.2</v>
      </c>
      <c r="E6" s="6">
        <f t="shared" ref="E6:E8" si="5">E5+D6</f>
        <v>0.8</v>
      </c>
      <c r="F6" s="6">
        <f t="shared" ref="F6:F8" si="6">E5</f>
        <v>0.60000000000000009</v>
      </c>
      <c r="G6" s="6">
        <f t="shared" si="1"/>
        <v>0.79</v>
      </c>
      <c r="H6" s="7" t="str">
        <f>_xlfn.CONCAT("interval ",3," ",F6, "-",G6)</f>
        <v>interval 3 0.6-0.79</v>
      </c>
      <c r="K6" s="3">
        <v>3</v>
      </c>
      <c r="L6" s="3">
        <v>3</v>
      </c>
      <c r="M6" s="6">
        <f t="shared" ca="1" si="2"/>
        <v>0.82487991336833821</v>
      </c>
      <c r="N6" s="7">
        <f t="shared" ca="1" si="3"/>
        <v>3</v>
      </c>
      <c r="O6" s="8">
        <f t="shared" ca="1" si="4"/>
        <v>7500000</v>
      </c>
    </row>
    <row r="7" spans="1:15" x14ac:dyDescent="0.25">
      <c r="A7" s="3">
        <v>4</v>
      </c>
      <c r="B7" s="13">
        <v>3</v>
      </c>
      <c r="C7" s="13">
        <v>10</v>
      </c>
      <c r="D7" s="6">
        <f t="shared" si="0"/>
        <v>0.1</v>
      </c>
      <c r="E7" s="6">
        <f t="shared" si="5"/>
        <v>0.9</v>
      </c>
      <c r="F7" s="6">
        <f t="shared" si="6"/>
        <v>0.8</v>
      </c>
      <c r="G7" s="6">
        <f t="shared" si="1"/>
        <v>0.89</v>
      </c>
      <c r="H7" s="7" t="str">
        <f>_xlfn.CONCAT("interval ",4," ",F7, "-",G7)</f>
        <v>interval 4 0.8-0.89</v>
      </c>
      <c r="K7" s="3">
        <v>4</v>
      </c>
      <c r="L7" s="7">
        <v>4</v>
      </c>
      <c r="M7" s="6">
        <f t="shared" ca="1" si="2"/>
        <v>0.49871921437170808</v>
      </c>
      <c r="N7" s="7">
        <f t="shared" ca="1" si="3"/>
        <v>1</v>
      </c>
      <c r="O7" s="8">
        <f t="shared" ca="1" si="4"/>
        <v>2500000</v>
      </c>
    </row>
    <row r="8" spans="1:15" x14ac:dyDescent="0.25">
      <c r="A8" s="3">
        <v>5</v>
      </c>
      <c r="B8" s="13">
        <v>4</v>
      </c>
      <c r="C8" s="13">
        <v>10</v>
      </c>
      <c r="D8" s="6">
        <f t="shared" si="0"/>
        <v>0.1</v>
      </c>
      <c r="E8" s="6">
        <f t="shared" si="5"/>
        <v>1</v>
      </c>
      <c r="F8" s="6">
        <f t="shared" si="6"/>
        <v>0.9</v>
      </c>
      <c r="G8" s="6">
        <f>E8</f>
        <v>1</v>
      </c>
      <c r="H8" s="7" t="str">
        <f>_xlfn.CONCAT("interval ",5," ",F8, "-",G8)</f>
        <v>interval 5 0.9-1</v>
      </c>
      <c r="K8" s="3">
        <v>5</v>
      </c>
      <c r="L8" s="7">
        <v>5</v>
      </c>
      <c r="M8" s="6">
        <f t="shared" ca="1" si="2"/>
        <v>0.79393180598396873</v>
      </c>
      <c r="N8" s="7">
        <f t="shared" ca="1" si="3"/>
        <v>3</v>
      </c>
      <c r="O8" s="8">
        <f t="shared" ca="1" si="4"/>
        <v>7500000</v>
      </c>
    </row>
    <row r="9" spans="1:15" x14ac:dyDescent="0.25">
      <c r="A9" s="11" t="s">
        <v>4</v>
      </c>
      <c r="B9" s="11"/>
      <c r="C9" s="13">
        <f>SUM(C4:C8)</f>
        <v>100</v>
      </c>
      <c r="D9" s="3"/>
      <c r="E9" s="3"/>
      <c r="F9" s="3"/>
      <c r="G9" s="6"/>
      <c r="H9" s="6"/>
      <c r="K9" s="3">
        <v>6</v>
      </c>
      <c r="L9" s="7">
        <v>6</v>
      </c>
      <c r="M9" s="6">
        <f t="shared" ca="1" si="2"/>
        <v>0.77869929580688779</v>
      </c>
      <c r="N9" s="7">
        <f t="shared" ca="1" si="3"/>
        <v>2</v>
      </c>
      <c r="O9" s="8">
        <f t="shared" ca="1" si="4"/>
        <v>5000000</v>
      </c>
    </row>
    <row r="10" spans="1:15" x14ac:dyDescent="0.25">
      <c r="K10" s="3">
        <v>7</v>
      </c>
      <c r="L10" s="7">
        <v>7</v>
      </c>
      <c r="M10" s="6">
        <f t="shared" ca="1" si="2"/>
        <v>0.5727771311214217</v>
      </c>
      <c r="N10" s="7">
        <f t="shared" ca="1" si="3"/>
        <v>1</v>
      </c>
      <c r="O10" s="8">
        <f t="shared" ca="1" si="4"/>
        <v>2500000</v>
      </c>
    </row>
    <row r="11" spans="1:15" x14ac:dyDescent="0.25">
      <c r="K11" s="3">
        <v>8</v>
      </c>
      <c r="L11" s="7">
        <v>8</v>
      </c>
      <c r="M11" s="6">
        <f t="shared" ca="1" si="2"/>
        <v>0.13978691351140637</v>
      </c>
      <c r="N11" s="7">
        <f t="shared" ca="1" si="3"/>
        <v>0</v>
      </c>
      <c r="O11" s="8">
        <f t="shared" ca="1" si="4"/>
        <v>0</v>
      </c>
    </row>
    <row r="12" spans="1:15" x14ac:dyDescent="0.25">
      <c r="K12" s="3">
        <v>9</v>
      </c>
      <c r="L12" s="7">
        <v>9</v>
      </c>
      <c r="M12" s="6">
        <f t="shared" ca="1" si="2"/>
        <v>0.29612429597095091</v>
      </c>
      <c r="N12" s="7">
        <f t="shared" ca="1" si="3"/>
        <v>1</v>
      </c>
      <c r="O12" s="8">
        <f t="shared" ca="1" si="4"/>
        <v>2500000</v>
      </c>
    </row>
    <row r="13" spans="1:15" x14ac:dyDescent="0.25">
      <c r="K13" s="3">
        <v>10</v>
      </c>
      <c r="L13" s="7">
        <v>10</v>
      </c>
      <c r="M13" s="6">
        <f t="shared" ca="1" si="2"/>
        <v>0.41756356709109621</v>
      </c>
      <c r="N13" s="7">
        <f t="shared" ca="1" si="3"/>
        <v>1</v>
      </c>
      <c r="O13" s="8">
        <f t="shared" ca="1" si="4"/>
        <v>2500000</v>
      </c>
    </row>
    <row r="14" spans="1:15" x14ac:dyDescent="0.25">
      <c r="K14" s="3">
        <v>11</v>
      </c>
      <c r="L14" s="7">
        <v>11</v>
      </c>
      <c r="M14" s="6">
        <f t="shared" ca="1" si="2"/>
        <v>0.22965746154183631</v>
      </c>
      <c r="N14" s="7">
        <f t="shared" ca="1" si="3"/>
        <v>1</v>
      </c>
      <c r="O14" s="8">
        <f t="shared" ca="1" si="4"/>
        <v>2500000</v>
      </c>
    </row>
    <row r="15" spans="1:15" x14ac:dyDescent="0.25">
      <c r="K15" s="3">
        <v>12</v>
      </c>
      <c r="L15" s="7">
        <v>12</v>
      </c>
      <c r="M15" s="6">
        <f t="shared" ca="1" si="2"/>
        <v>0.55060745073947759</v>
      </c>
      <c r="N15" s="7">
        <f t="shared" ca="1" si="3"/>
        <v>1</v>
      </c>
      <c r="O15" s="8">
        <f t="shared" ca="1" si="4"/>
        <v>2500000</v>
      </c>
    </row>
    <row r="16" spans="1:15" x14ac:dyDescent="0.25">
      <c r="K16" s="3">
        <v>13</v>
      </c>
      <c r="L16" s="7">
        <v>13</v>
      </c>
      <c r="M16" s="6">
        <f t="shared" ca="1" si="2"/>
        <v>0.26201170547285768</v>
      </c>
      <c r="N16" s="7">
        <f t="shared" ca="1" si="3"/>
        <v>1</v>
      </c>
      <c r="O16" s="8">
        <f t="shared" ca="1" si="4"/>
        <v>2500000</v>
      </c>
    </row>
    <row r="17" spans="11:15" x14ac:dyDescent="0.25">
      <c r="K17" s="3">
        <v>14</v>
      </c>
      <c r="L17" s="7">
        <v>14</v>
      </c>
      <c r="M17" s="6">
        <f t="shared" ca="1" si="2"/>
        <v>0.31153537336407922</v>
      </c>
      <c r="N17" s="7">
        <f t="shared" ca="1" si="3"/>
        <v>1</v>
      </c>
      <c r="O17" s="8">
        <f t="shared" ca="1" si="4"/>
        <v>2500000</v>
      </c>
    </row>
    <row r="18" spans="11:15" x14ac:dyDescent="0.25">
      <c r="K18" s="3">
        <v>15</v>
      </c>
      <c r="L18" s="7">
        <v>15</v>
      </c>
      <c r="M18" s="6">
        <f t="shared" ca="1" si="2"/>
        <v>0.69753729448045143</v>
      </c>
      <c r="N18" s="7">
        <f t="shared" ca="1" si="3"/>
        <v>2</v>
      </c>
      <c r="O18" s="8">
        <f t="shared" ca="1" si="4"/>
        <v>5000000</v>
      </c>
    </row>
    <row r="19" spans="11:15" x14ac:dyDescent="0.25">
      <c r="K19" s="3">
        <v>16</v>
      </c>
      <c r="L19" s="7">
        <v>16</v>
      </c>
      <c r="M19" s="6">
        <f t="shared" ca="1" si="2"/>
        <v>0.42358937980769629</v>
      </c>
      <c r="N19" s="7">
        <f t="shared" ca="1" si="3"/>
        <v>1</v>
      </c>
      <c r="O19" s="8">
        <f t="shared" ca="1" si="4"/>
        <v>2500000</v>
      </c>
    </row>
    <row r="20" spans="11:15" x14ac:dyDescent="0.25">
      <c r="M20" t="s">
        <v>15</v>
      </c>
      <c r="N20" s="9">
        <f ca="1">SUM(N4:N19)</f>
        <v>21</v>
      </c>
      <c r="O20" s="10">
        <f t="shared" ca="1" si="4"/>
        <v>52500000</v>
      </c>
    </row>
  </sheetData>
  <mergeCells count="1">
    <mergeCell ref="A9:B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2022-04-11T18:59:40Z</dcterms:modified>
</cp:coreProperties>
</file>